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김서현_작업\04. 환경부담금산정\0. 환경부담금산정 자동화\4.자동화 프로그램\3.github업로드\"/>
    </mc:Choice>
  </mc:AlternateContent>
  <xr:revisionPtr revIDLastSave="0" documentId="13_ncr:1_{7D7A9B86-FBE6-4B33-826B-5154E428D78E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산정명세서" sheetId="1" r:id="rId1"/>
  </sheets>
  <calcPr calcId="191029"/>
</workbook>
</file>

<file path=xl/calcChain.xml><?xml version="1.0" encoding="utf-8"?>
<calcChain xmlns="http://schemas.openxmlformats.org/spreadsheetml/2006/main">
  <c r="I46" i="1" l="1"/>
  <c r="I45" i="1"/>
  <c r="I44" i="1"/>
  <c r="I43" i="1"/>
  <c r="I42" i="1" s="1"/>
  <c r="E42" i="1"/>
  <c r="I41" i="1"/>
  <c r="I40" i="1"/>
  <c r="I39" i="1"/>
  <c r="I38" i="1"/>
  <c r="I37" i="1"/>
  <c r="I36" i="1"/>
  <c r="I35" i="1" s="1"/>
  <c r="E35" i="1"/>
  <c r="E34" i="1"/>
  <c r="F28" i="1"/>
  <c r="F23" i="1"/>
  <c r="I34" i="1" l="1"/>
  <c r="D48" i="1" l="1"/>
  <c r="F50" i="1"/>
  <c r="F5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00000000-0006-0000-0000-000001000000}">
      <text>
        <r>
          <rPr>
            <sz val="11"/>
            <color rgb="FF000000"/>
            <rFont val="돋움"/>
          </rPr>
          <t>작성 유의사항 : 셀 배경이 투명(흰색)칸 공란만 작성할 것.
(배경색이 있는 셀은 모두 수식화 되어있음, 서식임의 변경 금지)
----------------------------------------------------------------------------------------------
&lt;생태계보전부담금 산정 방법 변경 적용 시점&gt;
(자연환경보전법 시행령 제38조 및 별표2의4 관련)
→ 관련 규정 시행 이후('22.1.6.) 생태계보전부담금의 부과대상이 되는 사업중, 환경영향평가법에 따라 환경영향평가(전략,소규모,경기도 포함) 협의(재협의, 변경협의 포함)하는 경우부터 적용</t>
        </r>
      </text>
    </comment>
    <comment ref="F28" authorId="0" shapeId="0" xr:uid="{00000000-0006-0000-0000-000002000000}">
      <text>
        <r>
          <rPr>
            <sz val="11"/>
            <color rgb="FF000000"/>
            <rFont val="돋움"/>
          </rPr>
          <t>생태계 훼손면적은 모두 일치 하여야 함
FG26 = E34 = E35 = E42</t>
        </r>
      </text>
    </comment>
  </commentList>
</comments>
</file>

<file path=xl/sharedStrings.xml><?xml version="1.0" encoding="utf-8"?>
<sst xmlns="http://schemas.openxmlformats.org/spreadsheetml/2006/main" count="63" uniqueCount="62">
  <si>
    <t>생태계보전부담금 산정명세서</t>
  </si>
  <si>
    <t xml:space="preserve"> </t>
  </si>
  <si>
    <t xml:space="preserve"> 1. 일반현황</t>
  </si>
  <si>
    <t>사  업  명(사업기간)</t>
  </si>
  <si>
    <t>위         치</t>
  </si>
  <si>
    <t>총 사업면적(㎡)</t>
  </si>
  <si>
    <t>사
업
자</t>
  </si>
  <si>
    <t xml:space="preserve">  사 업 자 명</t>
  </si>
  <si>
    <t xml:space="preserve">  소   재   지</t>
  </si>
  <si>
    <t xml:space="preserve"> 사업자등록번호</t>
  </si>
  <si>
    <t xml:space="preserve"> 법인등록번호</t>
  </si>
  <si>
    <t>사업승인일</t>
  </si>
  <si>
    <t>인허가권자</t>
  </si>
  <si>
    <t xml:space="preserve"> 2. 생태계 훼손면적</t>
  </si>
  <si>
    <t>구           분</t>
  </si>
  <si>
    <t>면  적(㎡)</t>
  </si>
  <si>
    <t>비      고</t>
  </si>
  <si>
    <t>① 전체면적</t>
  </si>
  <si>
    <t>지구계 지적분할 측량에 따른 면적</t>
  </si>
  <si>
    <t>② 생태계훼손 제외면적</t>
  </si>
  <si>
    <t>생태계보전부담금 부과 제외면적</t>
  </si>
  <si>
    <t>제
외
면
적</t>
  </si>
  <si>
    <t>「공간정보관리법」에 의한 제외대상 지목</t>
  </si>
  <si>
    <t>대,장,학,도,철,체,원</t>
  </si>
  <si>
    <r>
      <t>대지 공장</t>
    </r>
    <r>
      <rPr>
        <sz val="11"/>
        <color rgb="FF000000"/>
        <rFont val="돋움"/>
        <family val="3"/>
      </rPr>
      <t>, 학교, 도로, 철도, 체육용지, 유원지</t>
    </r>
  </si>
  <si>
    <t>「국토계획법」에 의한 주거,상업,공업,계획관리지역 중
지목이 전,답,임야,염전,하천,유지,공원 외 지목</t>
  </si>
  <si>
    <t>구,목,잡,주,차</t>
  </si>
  <si>
    <t>시설물이 설치된 토지의 제외면적</t>
  </si>
  <si>
    <t>건축물대장 증빙자료 제출 필요</t>
  </si>
  <si>
    <t>원형보전면적</t>
  </si>
  <si>
    <t>토지이용계획도 및 산지전용협의 등 증빙자료 제출 필요</t>
  </si>
  <si>
    <t>③ 생태계 훼손면적(①-②)</t>
  </si>
  <si>
    <t>생태계보전부담금 부과대상면적</t>
  </si>
  <si>
    <t xml:space="preserve"> 3. 생태계보전부담금 산정내역</t>
  </si>
  <si>
    <r>
      <t xml:space="preserve">※ 산정방식 </t>
    </r>
    <r>
      <rPr>
        <sz val="11"/>
        <color rgb="FFFF0000"/>
        <rFont val="돋움"/>
        <family val="3"/>
      </rPr>
      <t>(자연환경보전법 시행령 제37조, 제38조)</t>
    </r>
    <r>
      <rPr>
        <b/>
        <sz val="11"/>
        <color rgb="FFFF0000"/>
        <rFont val="돋움"/>
        <family val="3"/>
      </rPr>
      <t xml:space="preserve">
    -  [면적당 단가(300원/㎡) × 용도지역별 훼손면적(㎡) × 용도지역별 지역계수]  ÷ 2
                                                 +    
        [면적당 단가(300원/㎡) × 생태자연도 등급별 훼손면적(㎡) × 생태자연도 지역계수]  ÷ 2</t>
    </r>
  </si>
  <si>
    <t>구     분</t>
  </si>
  <si>
    <t>훼손면적
(㎡)</t>
  </si>
  <si>
    <t>㎡당 부과금액
(원/㎡)</t>
  </si>
  <si>
    <t>지역계수</t>
  </si>
  <si>
    <t>부과금
(원)</t>
  </si>
  <si>
    <t>합  계</t>
  </si>
  <si>
    <t>(용도지역별) 소 계</t>
  </si>
  <si>
    <t>용
도
지
역</t>
  </si>
  <si>
    <t>주거,상업,공업,
계획관리지역</t>
  </si>
  <si>
    <t>전,답,임야,염전,
하천,유지,공원</t>
  </si>
  <si>
    <t>녹지지역</t>
  </si>
  <si>
    <t>생산관리지역</t>
  </si>
  <si>
    <t>농림지역</t>
  </si>
  <si>
    <t>보전관리지역</t>
  </si>
  <si>
    <t>자연환경보전지역</t>
  </si>
  <si>
    <t>(생태자연도별) 소 계</t>
  </si>
  <si>
    <t>생
태
자
연
도</t>
  </si>
  <si>
    <t>1등급</t>
  </si>
  <si>
    <t>2등급</t>
  </si>
  <si>
    <t>3등급</t>
  </si>
  <si>
    <t>별도관리지역</t>
  </si>
  <si>
    <t>원단위 절사</t>
  </si>
  <si>
    <t xml:space="preserve">           ○ 가산금 : </t>
  </si>
  <si>
    <t>원(부과금*3/100)</t>
  </si>
  <si>
    <t xml:space="preserve"> ▣ 납기내 생태계보전부담금 : </t>
  </si>
  <si>
    <t>원</t>
  </si>
  <si>
    <t xml:space="preserve"> ▣ 납기후 생태계보전부담금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</si>
</sst>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(* #,##0_);_(* \(#,##0\);_(* &quot;-&quot;_);_(@_)"/>
    <numFmt numFmtId="177" formatCode="_-* #,##0.0_-;\-* #,##0.0_-;_-* &quot;-&quot;_-;_-@_-"/>
    <numFmt numFmtId="182" formatCode="_(* #,##0.0_);_(* \(#,##0.0\);_(* &quot;-&quot;_);_(@_)"/>
  </numFmts>
  <fonts count="46" x14ac:knownFonts="1">
    <font>
      <sz val="11"/>
      <color rgb="FF000000"/>
      <name val="돋움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b/>
      <sz val="18"/>
      <color rgb="FF000000"/>
      <name val="돋움"/>
      <family val="3"/>
      <charset val="129"/>
    </font>
    <font>
      <sz val="12"/>
      <color rgb="FF000000"/>
      <name val="굴림"/>
      <family val="3"/>
      <charset val="129"/>
    </font>
    <font>
      <b/>
      <sz val="16"/>
      <color rgb="FF000000"/>
      <name val="돋움"/>
      <family val="3"/>
      <charset val="129"/>
    </font>
    <font>
      <sz val="11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sz val="12"/>
      <color rgb="FF000000"/>
      <name val="돋움"/>
      <family val="3"/>
      <charset val="129"/>
    </font>
    <font>
      <sz val="14"/>
      <color rgb="FF000000"/>
      <name val="굴림"/>
      <family val="3"/>
      <charset val="129"/>
    </font>
    <font>
      <b/>
      <sz val="14"/>
      <color rgb="FF000000"/>
      <name val="굴림"/>
      <family val="3"/>
      <charset val="129"/>
    </font>
    <font>
      <sz val="14"/>
      <color rgb="FF000000"/>
      <name val="돋움"/>
      <family val="3"/>
      <charset val="129"/>
    </font>
    <font>
      <sz val="8"/>
      <color rgb="FF000000"/>
      <name val="굴림"/>
      <family val="3"/>
      <charset val="129"/>
    </font>
    <font>
      <b/>
      <sz val="24"/>
      <color rgb="FF000000"/>
      <name val="HY헤드라인M"/>
      <family val="1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11"/>
      <color rgb="FF000000"/>
      <name val="굴림"/>
      <family val="3"/>
      <charset val="129"/>
    </font>
    <font>
      <sz val="11"/>
      <color rgb="FFFF0000"/>
      <name val="돋움"/>
      <family val="3"/>
      <charset val="129"/>
    </font>
    <font>
      <sz val="9.5"/>
      <color rgb="FF000000"/>
      <name val="굴림"/>
      <family val="3"/>
      <charset val="129"/>
    </font>
    <font>
      <b/>
      <sz val="11"/>
      <color rgb="FF000000"/>
      <name val="돋움"/>
      <family val="3"/>
      <charset val="129"/>
    </font>
    <font>
      <sz val="11"/>
      <name val="돋움"/>
      <family val="3"/>
      <charset val="129"/>
    </font>
    <font>
      <b/>
      <sz val="11"/>
      <name val="굴림"/>
      <family val="3"/>
      <charset val="129"/>
    </font>
    <font>
      <b/>
      <sz val="11"/>
      <color rgb="FFFF0000"/>
      <name val="굴림"/>
      <family val="3"/>
      <charset val="129"/>
    </font>
    <font>
      <sz val="10"/>
      <name val="Tahoma"/>
    </font>
    <font>
      <sz val="10.5"/>
      <color rgb="FF000000"/>
      <name val="굴림"/>
      <family val="3"/>
      <charset val="129"/>
    </font>
    <font>
      <sz val="12"/>
      <color rgb="FF0070C0"/>
      <name val="굴림"/>
      <family val="3"/>
      <charset val="129"/>
    </font>
    <font>
      <sz val="10.5"/>
      <color theme="4"/>
      <name val="굴림"/>
      <family val="3"/>
      <charset val="129"/>
    </font>
    <font>
      <sz val="11"/>
      <color rgb="FF000000"/>
      <name val="돋움"/>
      <family val="3"/>
    </font>
    <font>
      <sz val="11"/>
      <color rgb="FFFF0000"/>
      <name val="돋움"/>
      <family val="3"/>
    </font>
    <font>
      <b/>
      <sz val="11"/>
      <color rgb="FFFF0000"/>
      <name val="돋움"/>
      <family val="3"/>
    </font>
  </fonts>
  <fills count="30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FF99CC"/>
      </patternFill>
    </fill>
    <fill>
      <patternFill patternType="solid">
        <fgColor rgb="FFCCFFCC"/>
      </patternFill>
    </fill>
    <fill>
      <patternFill patternType="solid">
        <fgColor rgb="FFCC99FF"/>
      </patternFill>
    </fill>
    <fill>
      <patternFill patternType="solid">
        <fgColor rgb="FFCCFFFF"/>
      </patternFill>
    </fill>
    <fill>
      <patternFill patternType="solid">
        <fgColor rgb="FFFFCC99"/>
      </patternFill>
    </fill>
    <fill>
      <patternFill patternType="solid">
        <fgColor rgb="FF99CCFF"/>
      </patternFill>
    </fill>
    <fill>
      <patternFill patternType="solid">
        <fgColor rgb="FFFF8080"/>
      </patternFill>
    </fill>
    <fill>
      <patternFill patternType="solid">
        <fgColor rgb="FF00FF00"/>
      </patternFill>
    </fill>
    <fill>
      <patternFill patternType="solid">
        <fgColor rgb="FFFFCC00"/>
      </patternFill>
    </fill>
    <fill>
      <patternFill patternType="solid">
        <fgColor rgb="FF0066CC"/>
      </patternFill>
    </fill>
    <fill>
      <patternFill patternType="solid">
        <fgColor rgb="FF800080"/>
      </patternFill>
    </fill>
    <fill>
      <patternFill patternType="solid">
        <fgColor rgb="FF33CCCC"/>
      </patternFill>
    </fill>
    <fill>
      <patternFill patternType="solid">
        <fgColor rgb="FFFF9900"/>
      </patternFill>
    </fill>
    <fill>
      <patternFill patternType="solid">
        <fgColor rgb="FF333399"/>
      </patternFill>
    </fill>
    <fill>
      <patternFill patternType="solid">
        <fgColor rgb="FFFF0000"/>
      </patternFill>
    </fill>
    <fill>
      <patternFill patternType="solid">
        <fgColor rgb="FF339966"/>
      </patternFill>
    </fill>
    <fill>
      <patternFill patternType="solid">
        <fgColor rgb="FFFF6600"/>
      </patternFill>
    </fill>
    <fill>
      <patternFill patternType="solid">
        <fgColor rgb="FFC0C0C0"/>
      </patternFill>
    </fill>
    <fill>
      <patternFill patternType="solid">
        <fgColor rgb="FFFFFFCC"/>
      </patternFill>
    </fill>
    <fill>
      <patternFill patternType="solid">
        <fgColor rgb="FFFFFF99"/>
      </patternFill>
    </fill>
    <fill>
      <patternFill patternType="solid">
        <fgColor rgb="FF969696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92D050"/>
      </patternFill>
    </fill>
  </fills>
  <borders count="9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47">
    <xf numFmtId="0" fontId="0" fillId="0" borderId="0"/>
    <xf numFmtId="0" fontId="1" fillId="2" borderId="0">
      <alignment vertical="center"/>
    </xf>
    <xf numFmtId="0" fontId="1" fillId="3" borderId="0">
      <alignment vertical="center"/>
    </xf>
    <xf numFmtId="0" fontId="1" fillId="4" borderId="0">
      <alignment vertical="center"/>
    </xf>
    <xf numFmtId="0" fontId="1" fillId="5" borderId="0">
      <alignment vertical="center"/>
    </xf>
    <xf numFmtId="0" fontId="1" fillId="6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9" borderId="0">
      <alignment vertical="center"/>
    </xf>
    <xf numFmtId="0" fontId="1" fillId="10" borderId="0">
      <alignment vertical="center"/>
    </xf>
    <xf numFmtId="0" fontId="1" fillId="5" borderId="0">
      <alignment vertical="center"/>
    </xf>
    <xf numFmtId="0" fontId="1" fillId="8" borderId="0">
      <alignment vertical="center"/>
    </xf>
    <xf numFmtId="0" fontId="1" fillId="11" borderId="0">
      <alignment vertical="center"/>
    </xf>
    <xf numFmtId="0" fontId="2" fillId="12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" fillId="16" borderId="0">
      <alignment vertical="center"/>
    </xf>
    <xf numFmtId="0" fontId="2" fillId="17" borderId="0">
      <alignment vertical="center"/>
    </xf>
    <xf numFmtId="0" fontId="2" fillId="18" borderId="0">
      <alignment vertical="center"/>
    </xf>
    <xf numFmtId="0" fontId="2" fillId="13" borderId="0">
      <alignment vertical="center"/>
    </xf>
    <xf numFmtId="0" fontId="2" fillId="14" borderId="0">
      <alignment vertical="center"/>
    </xf>
    <xf numFmtId="0" fontId="2" fillId="19" borderId="0">
      <alignment vertical="center"/>
    </xf>
    <xf numFmtId="0" fontId="3" fillId="0" borderId="0">
      <alignment vertical="center"/>
    </xf>
    <xf numFmtId="0" fontId="4" fillId="20" borderId="1">
      <alignment vertical="center"/>
    </xf>
    <xf numFmtId="0" fontId="5" fillId="3" borderId="0">
      <alignment vertical="center"/>
    </xf>
    <xf numFmtId="0" fontId="29" fillId="21" borderId="2">
      <alignment vertical="center"/>
    </xf>
    <xf numFmtId="0" fontId="6" fillId="22" borderId="0">
      <alignment vertical="center"/>
    </xf>
    <xf numFmtId="0" fontId="7" fillId="0" borderId="0">
      <alignment vertical="center"/>
    </xf>
    <xf numFmtId="0" fontId="8" fillId="23" borderId="3">
      <alignment vertical="center"/>
    </xf>
    <xf numFmtId="176" fontId="29" fillId="0" borderId="0"/>
    <xf numFmtId="0" fontId="9" fillId="0" borderId="4">
      <alignment vertical="center"/>
    </xf>
    <xf numFmtId="0" fontId="10" fillId="0" borderId="5">
      <alignment vertical="center"/>
    </xf>
    <xf numFmtId="0" fontId="11" fillId="7" borderId="1">
      <alignment vertical="center"/>
    </xf>
    <xf numFmtId="0" fontId="12" fillId="0" borderId="0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5" fillId="0" borderId="0">
      <alignment vertical="center"/>
    </xf>
    <xf numFmtId="0" fontId="16" fillId="4" borderId="0">
      <alignment vertical="center"/>
    </xf>
    <xf numFmtId="0" fontId="17" fillId="20" borderId="9">
      <alignment vertical="center"/>
    </xf>
    <xf numFmtId="176" fontId="29" fillId="0" borderId="0"/>
    <xf numFmtId="0" fontId="39" fillId="0" borderId="0"/>
    <xf numFmtId="0" fontId="36" fillId="0" borderId="0">
      <alignment vertical="center"/>
    </xf>
    <xf numFmtId="0" fontId="36" fillId="0" borderId="0">
      <alignment vertical="center"/>
    </xf>
  </cellStyleXfs>
  <cellXfs count="183">
    <xf numFmtId="0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vertical="center"/>
    </xf>
    <xf numFmtId="176" fontId="29" fillId="0" borderId="0" xfId="32" applyNumberFormat="1" applyAlignment="1">
      <alignment vertical="center"/>
    </xf>
    <xf numFmtId="0" fontId="18" fillId="0" borderId="0" xfId="0" applyNumberFormat="1" applyFont="1" applyBorder="1" applyAlignment="1">
      <alignment horizontal="left"/>
    </xf>
    <xf numFmtId="0" fontId="20" fillId="0" borderId="0" xfId="0" applyNumberFormat="1" applyFont="1" applyBorder="1" applyAlignment="1">
      <alignment horizontal="left"/>
    </xf>
    <xf numFmtId="0" fontId="21" fillId="0" borderId="0" xfId="0" applyNumberFormat="1" applyFont="1" applyFill="1" applyBorder="1" applyAlignment="1">
      <alignment horizontal="left" vertical="center"/>
    </xf>
    <xf numFmtId="177" fontId="21" fillId="0" borderId="0" xfId="32" applyNumberFormat="1" applyFont="1" applyFill="1" applyBorder="1" applyAlignment="1">
      <alignment horizontal="center" vertical="center"/>
    </xf>
    <xf numFmtId="0" fontId="22" fillId="0" borderId="0" xfId="0" applyNumberFormat="1" applyFont="1" applyFill="1" applyBorder="1" applyAlignment="1">
      <alignment horizontal="center" vertical="center" wrapText="1"/>
    </xf>
    <xf numFmtId="0" fontId="2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Alignment="1"/>
    <xf numFmtId="0" fontId="18" fillId="0" borderId="0" xfId="0" applyNumberFormat="1" applyFont="1" applyAlignment="1">
      <alignment horizontal="left"/>
    </xf>
    <xf numFmtId="0" fontId="19" fillId="0" borderId="0" xfId="0" applyNumberFormat="1" applyFont="1" applyAlignment="1">
      <alignment vertical="center"/>
    </xf>
    <xf numFmtId="176" fontId="19" fillId="0" borderId="0" xfId="32" applyNumberFormat="1" applyFont="1" applyAlignment="1">
      <alignment vertical="center"/>
    </xf>
    <xf numFmtId="0" fontId="22" fillId="0" borderId="0" xfId="0" applyNumberFormat="1" applyFont="1" applyAlignment="1">
      <alignment vertical="center"/>
    </xf>
    <xf numFmtId="0" fontId="23" fillId="0" borderId="0" xfId="0" applyNumberFormat="1" applyFont="1"/>
    <xf numFmtId="0" fontId="19" fillId="0" borderId="0" xfId="0" applyNumberFormat="1" applyFont="1"/>
    <xf numFmtId="177" fontId="23" fillId="0" borderId="0" xfId="0" applyNumberFormat="1" applyFont="1"/>
    <xf numFmtId="0" fontId="24" fillId="28" borderId="0" xfId="0" applyNumberFormat="1" applyFont="1" applyFill="1"/>
    <xf numFmtId="0" fontId="26" fillId="0" borderId="0" xfId="0" applyNumberFormat="1" applyFont="1"/>
    <xf numFmtId="0" fontId="24" fillId="0" borderId="0" xfId="0" applyNumberFormat="1" applyFont="1"/>
    <xf numFmtId="0" fontId="25" fillId="0" borderId="0" xfId="0" applyNumberFormat="1" applyFont="1" applyAlignment="1">
      <alignment horizontal="left"/>
    </xf>
    <xf numFmtId="176" fontId="25" fillId="0" borderId="0" xfId="0" applyNumberFormat="1" applyFont="1" applyAlignment="1"/>
    <xf numFmtId="176" fontId="24" fillId="0" borderId="0" xfId="32" applyNumberFormat="1" applyFont="1"/>
    <xf numFmtId="0" fontId="21" fillId="21" borderId="12" xfId="0" applyNumberFormat="1" applyFont="1" applyFill="1" applyBorder="1" applyAlignment="1">
      <alignment horizontal="center" vertical="center" wrapText="1"/>
    </xf>
    <xf numFmtId="0" fontId="21" fillId="21" borderId="13" xfId="0" applyNumberFormat="1" applyFont="1" applyFill="1" applyBorder="1" applyAlignment="1">
      <alignment horizontal="center" vertical="center" wrapText="1"/>
    </xf>
    <xf numFmtId="0" fontId="21" fillId="21" borderId="14" xfId="0" applyNumberFormat="1" applyFont="1" applyFill="1" applyBorder="1" applyAlignment="1">
      <alignment horizontal="center" vertical="center" wrapText="1"/>
    </xf>
    <xf numFmtId="0" fontId="32" fillId="25" borderId="15" xfId="0" applyNumberFormat="1" applyFont="1" applyFill="1" applyBorder="1" applyAlignment="1">
      <alignment vertical="center"/>
    </xf>
    <xf numFmtId="176" fontId="38" fillId="25" borderId="16" xfId="32" applyNumberFormat="1" applyFont="1" applyFill="1" applyBorder="1" applyAlignment="1">
      <alignment vertical="center"/>
    </xf>
    <xf numFmtId="176" fontId="27" fillId="28" borderId="20" xfId="32" applyNumberFormat="1" applyFont="1" applyFill="1" applyBorder="1" applyAlignment="1">
      <alignment horizontal="center" vertical="center" wrapText="1"/>
    </xf>
    <xf numFmtId="0" fontId="21" fillId="28" borderId="17" xfId="0" applyNumberFormat="1" applyFont="1" applyFill="1" applyBorder="1" applyAlignment="1">
      <alignment horizontal="center" vertical="center"/>
    </xf>
    <xf numFmtId="176" fontId="21" fillId="28" borderId="18" xfId="32" applyNumberFormat="1" applyFont="1" applyFill="1" applyBorder="1" applyAlignment="1">
      <alignment vertical="center"/>
    </xf>
    <xf numFmtId="0" fontId="21" fillId="28" borderId="26" xfId="0" applyNumberFormat="1" applyFont="1" applyFill="1" applyBorder="1" applyAlignment="1">
      <alignment horizontal="center" vertical="center"/>
    </xf>
    <xf numFmtId="0" fontId="21" fillId="28" borderId="60" xfId="0" applyNumberFormat="1" applyFont="1" applyFill="1" applyBorder="1" applyAlignment="1">
      <alignment vertical="center"/>
    </xf>
    <xf numFmtId="0" fontId="21" fillId="28" borderId="10" xfId="0" applyNumberFormat="1" applyFont="1" applyFill="1" applyBorder="1" applyAlignment="1">
      <alignment horizontal="center" vertical="center"/>
    </xf>
    <xf numFmtId="0" fontId="21" fillId="28" borderId="77" xfId="0" applyNumberFormat="1" applyFont="1" applyFill="1" applyBorder="1" applyAlignment="1">
      <alignment horizontal="center" vertical="center"/>
    </xf>
    <xf numFmtId="0" fontId="21" fillId="28" borderId="82" xfId="0" applyNumberFormat="1" applyFont="1" applyFill="1" applyBorder="1" applyAlignment="1">
      <alignment vertical="center"/>
    </xf>
    <xf numFmtId="0" fontId="21" fillId="28" borderId="76" xfId="0" applyNumberFormat="1" applyFont="1" applyFill="1" applyBorder="1" applyAlignment="1">
      <alignment horizontal="center" vertical="center"/>
    </xf>
    <xf numFmtId="176" fontId="21" fillId="28" borderId="83" xfId="32" applyNumberFormat="1" applyFont="1" applyFill="1" applyBorder="1" applyAlignment="1">
      <alignment vertical="center"/>
    </xf>
    <xf numFmtId="176" fontId="32" fillId="24" borderId="78" xfId="32" applyNumberFormat="1" applyFont="1" applyFill="1" applyBorder="1" applyAlignment="1">
      <alignment vertical="center"/>
    </xf>
    <xf numFmtId="0" fontId="21" fillId="28" borderId="21" xfId="0" applyNumberFormat="1" applyFont="1" applyFill="1" applyBorder="1" applyAlignment="1">
      <alignment horizontal="center" vertical="center"/>
    </xf>
    <xf numFmtId="0" fontId="21" fillId="28" borderId="75" xfId="0" applyNumberFormat="1" applyFont="1" applyFill="1" applyBorder="1" applyAlignment="1">
      <alignment vertical="center"/>
    </xf>
    <xf numFmtId="0" fontId="21" fillId="28" borderId="62" xfId="0" applyNumberFormat="1" applyFont="1" applyFill="1" applyBorder="1" applyAlignment="1">
      <alignment horizontal="center" vertical="center"/>
    </xf>
    <xf numFmtId="0" fontId="21" fillId="28" borderId="63" xfId="0" applyNumberFormat="1" applyFont="1" applyFill="1" applyBorder="1" applyAlignment="1">
      <alignment vertical="center"/>
    </xf>
    <xf numFmtId="0" fontId="21" fillId="28" borderId="40" xfId="0" applyNumberFormat="1" applyFont="1" applyFill="1" applyBorder="1" applyAlignment="1">
      <alignment horizontal="center" vertical="center"/>
    </xf>
    <xf numFmtId="176" fontId="21" fillId="28" borderId="41" xfId="32" applyNumberFormat="1" applyFont="1" applyFill="1" applyBorder="1" applyAlignment="1">
      <alignment vertical="center"/>
    </xf>
    <xf numFmtId="0" fontId="25" fillId="28" borderId="0" xfId="0" applyNumberFormat="1" applyFont="1" applyFill="1" applyAlignment="1">
      <alignment horizontal="left"/>
    </xf>
    <xf numFmtId="0" fontId="24" fillId="28" borderId="0" xfId="0" applyNumberFormat="1" applyFont="1" applyFill="1"/>
    <xf numFmtId="0" fontId="24" fillId="0" borderId="0" xfId="0" applyNumberFormat="1" applyFont="1"/>
    <xf numFmtId="0" fontId="19" fillId="0" borderId="0" xfId="0" applyNumberFormat="1" applyFont="1"/>
    <xf numFmtId="176" fontId="19" fillId="0" borderId="0" xfId="32" applyNumberFormat="1" applyFont="1"/>
    <xf numFmtId="0" fontId="22" fillId="28" borderId="61" xfId="0" applyNumberFormat="1" applyFont="1" applyFill="1" applyBorder="1" applyAlignment="1">
      <alignment horizontal="center" vertical="center" wrapText="1"/>
    </xf>
    <xf numFmtId="176" fontId="32" fillId="24" borderId="70" xfId="32" applyNumberFormat="1" applyFont="1" applyFill="1" applyBorder="1" applyAlignment="1">
      <alignment vertical="center"/>
    </xf>
    <xf numFmtId="0" fontId="29" fillId="0" borderId="0" xfId="0" applyNumberFormat="1" applyFont="1"/>
    <xf numFmtId="0" fontId="33" fillId="0" borderId="0" xfId="0" applyNumberFormat="1" applyFont="1"/>
    <xf numFmtId="177" fontId="21" fillId="28" borderId="40" xfId="32" applyNumberFormat="1" applyFont="1" applyFill="1" applyBorder="1" applyAlignment="1">
      <alignment horizontal="center" vertical="center"/>
    </xf>
    <xf numFmtId="182" fontId="29" fillId="0" borderId="0" xfId="32" applyNumberFormat="1"/>
    <xf numFmtId="41" fontId="21" fillId="28" borderId="23" xfId="32" applyNumberFormat="1" applyFont="1" applyFill="1" applyBorder="1" applyAlignment="1">
      <alignment horizontal="center" vertical="center"/>
    </xf>
    <xf numFmtId="41" fontId="21" fillId="28" borderId="27" xfId="32" applyNumberFormat="1" applyFont="1" applyFill="1" applyBorder="1" applyAlignment="1">
      <alignment horizontal="center" vertical="center"/>
    </xf>
    <xf numFmtId="41" fontId="37" fillId="25" borderId="22" xfId="32" applyNumberFormat="1" applyFont="1" applyFill="1" applyBorder="1" applyAlignment="1">
      <alignment horizontal="center" vertical="center"/>
    </xf>
    <xf numFmtId="41" fontId="37" fillId="24" borderId="69" xfId="32" applyNumberFormat="1" applyFont="1" applyFill="1" applyBorder="1" applyAlignment="1">
      <alignment horizontal="center" vertical="center"/>
    </xf>
    <xf numFmtId="0" fontId="19" fillId="21" borderId="30" xfId="0" applyNumberFormat="1" applyFont="1" applyFill="1" applyBorder="1" applyAlignment="1">
      <alignment horizontal="center" vertical="center"/>
    </xf>
    <xf numFmtId="0" fontId="19" fillId="21" borderId="11" xfId="0" applyNumberFormat="1" applyFont="1" applyFill="1" applyBorder="1" applyAlignment="1">
      <alignment horizontal="center" vertical="center"/>
    </xf>
    <xf numFmtId="3" fontId="19" fillId="0" borderId="24" xfId="0" applyNumberFormat="1" applyFont="1" applyBorder="1" applyAlignment="1">
      <alignment horizontal="left" vertical="center"/>
    </xf>
    <xf numFmtId="0" fontId="19" fillId="0" borderId="10" xfId="0" applyNumberFormat="1" applyFont="1" applyBorder="1" applyAlignment="1">
      <alignment horizontal="left" vertical="center"/>
    </xf>
    <xf numFmtId="0" fontId="19" fillId="0" borderId="19" xfId="0" applyNumberFormat="1" applyFont="1" applyBorder="1" applyAlignment="1">
      <alignment horizontal="left" vertical="center"/>
    </xf>
    <xf numFmtId="0" fontId="19" fillId="21" borderId="30" xfId="0" applyNumberFormat="1" applyFont="1" applyFill="1" applyBorder="1" applyAlignment="1">
      <alignment horizontal="center" vertical="center" wrapText="1"/>
    </xf>
    <xf numFmtId="0" fontId="19" fillId="21" borderId="87" xfId="0" applyNumberFormat="1" applyFont="1" applyFill="1" applyBorder="1" applyAlignment="1">
      <alignment horizontal="left" vertical="center"/>
    </xf>
    <xf numFmtId="0" fontId="19" fillId="21" borderId="20" xfId="0" applyNumberFormat="1" applyFont="1" applyFill="1" applyBorder="1" applyAlignment="1">
      <alignment horizontal="left" vertical="center"/>
    </xf>
    <xf numFmtId="0" fontId="19" fillId="21" borderId="87" xfId="0" applyNumberFormat="1" applyFont="1" applyFill="1" applyBorder="1" applyAlignment="1">
      <alignment horizontal="center" vertical="center"/>
    </xf>
    <xf numFmtId="0" fontId="19" fillId="21" borderId="20" xfId="0" applyNumberFormat="1" applyFont="1" applyFill="1" applyBorder="1" applyAlignment="1">
      <alignment horizontal="center" vertical="center"/>
    </xf>
    <xf numFmtId="0" fontId="41" fillId="0" borderId="91" xfId="0" applyNumberFormat="1" applyFont="1" applyBorder="1" applyAlignment="1">
      <alignment horizontal="left" vertical="center"/>
    </xf>
    <xf numFmtId="0" fontId="41" fillId="0" borderId="52" xfId="0" applyNumberFormat="1" applyFont="1" applyBorder="1" applyAlignment="1">
      <alignment horizontal="left" vertical="center"/>
    </xf>
    <xf numFmtId="0" fontId="41" fillId="0" borderId="92" xfId="0" applyNumberFormat="1" applyFont="1" applyBorder="1" applyAlignment="1">
      <alignment horizontal="left" vertical="center"/>
    </xf>
    <xf numFmtId="0" fontId="41" fillId="0" borderId="93" xfId="0" applyNumberFormat="1" applyFont="1" applyBorder="1" applyAlignment="1">
      <alignment horizontal="left" vertical="center"/>
    </xf>
    <xf numFmtId="0" fontId="41" fillId="0" borderId="21" xfId="0" applyNumberFormat="1" applyFont="1" applyBorder="1" applyAlignment="1">
      <alignment horizontal="left" vertical="center"/>
    </xf>
    <xf numFmtId="0" fontId="41" fillId="0" borderId="23" xfId="0" applyNumberFormat="1" applyFont="1" applyBorder="1" applyAlignment="1">
      <alignment horizontal="left" vertical="center"/>
    </xf>
    <xf numFmtId="0" fontId="41" fillId="0" borderId="94" xfId="0" applyNumberFormat="1" applyFont="1" applyBorder="1" applyAlignment="1">
      <alignment horizontal="left" vertical="center"/>
    </xf>
    <xf numFmtId="0" fontId="41" fillId="0" borderId="53" xfId="0" applyNumberFormat="1" applyFont="1" applyBorder="1" applyAlignment="1">
      <alignment horizontal="left" vertical="center"/>
    </xf>
    <xf numFmtId="0" fontId="41" fillId="0" borderId="43" xfId="0" applyNumberFormat="1" applyFont="1" applyBorder="1" applyAlignment="1">
      <alignment horizontal="left" vertical="center"/>
    </xf>
    <xf numFmtId="0" fontId="41" fillId="0" borderId="95" xfId="0" applyNumberFormat="1" applyFont="1" applyBorder="1" applyAlignment="1">
      <alignment horizontal="left" vertical="center"/>
    </xf>
    <xf numFmtId="0" fontId="28" fillId="0" borderId="0" xfId="0" applyNumberFormat="1" applyFont="1" applyAlignment="1">
      <alignment horizontal="center"/>
    </xf>
    <xf numFmtId="0" fontId="20" fillId="0" borderId="0" xfId="0" applyNumberFormat="1" applyFont="1" applyAlignment="1">
      <alignment horizontal="left"/>
    </xf>
    <xf numFmtId="0" fontId="19" fillId="21" borderId="28" xfId="0" applyNumberFormat="1" applyFont="1" applyFill="1" applyBorder="1" applyAlignment="1">
      <alignment horizontal="center" vertical="center"/>
    </xf>
    <xf numFmtId="0" fontId="19" fillId="21" borderId="29" xfId="0" applyNumberFormat="1" applyFont="1" applyFill="1" applyBorder="1" applyAlignment="1">
      <alignment horizontal="center" vertical="center"/>
    </xf>
    <xf numFmtId="0" fontId="19" fillId="0" borderId="88" xfId="0" applyNumberFormat="1" applyFont="1" applyBorder="1" applyAlignment="1">
      <alignment horizontal="left" vertical="center"/>
    </xf>
    <xf numFmtId="0" fontId="19" fillId="0" borderId="89" xfId="0" applyNumberFormat="1" applyFont="1" applyBorder="1" applyAlignment="1">
      <alignment horizontal="left" vertical="center"/>
    </xf>
    <xf numFmtId="0" fontId="19" fillId="0" borderId="90" xfId="0" applyNumberFormat="1" applyFont="1" applyBorder="1" applyAlignment="1">
      <alignment horizontal="left" vertical="center"/>
    </xf>
    <xf numFmtId="0" fontId="19" fillId="0" borderId="31" xfId="0" applyNumberFormat="1" applyFont="1" applyBorder="1" applyAlignment="1">
      <alignment horizontal="left" vertical="center"/>
    </xf>
    <xf numFmtId="0" fontId="19" fillId="0" borderId="26" xfId="0" applyNumberFormat="1" applyFont="1" applyBorder="1" applyAlignment="1">
      <alignment horizontal="left" vertical="center"/>
    </xf>
    <xf numFmtId="0" fontId="19" fillId="0" borderId="32" xfId="0" applyNumberFormat="1" applyFont="1" applyBorder="1" applyAlignment="1">
      <alignment horizontal="left" vertical="center"/>
    </xf>
    <xf numFmtId="0" fontId="21" fillId="21" borderId="33" xfId="0" applyNumberFormat="1" applyFont="1" applyFill="1" applyBorder="1" applyAlignment="1">
      <alignment horizontal="center" vertical="center"/>
    </xf>
    <xf numFmtId="0" fontId="21" fillId="21" borderId="13" xfId="0" applyNumberFormat="1" applyFont="1" applyFill="1" applyBorder="1" applyAlignment="1">
      <alignment horizontal="center" vertical="center"/>
    </xf>
    <xf numFmtId="0" fontId="21" fillId="21" borderId="34" xfId="0" applyNumberFormat="1" applyFont="1" applyFill="1" applyBorder="1" applyAlignment="1">
      <alignment horizontal="center" vertical="center"/>
    </xf>
    <xf numFmtId="176" fontId="21" fillId="21" borderId="35" xfId="32" applyNumberFormat="1" applyFont="1" applyFill="1" applyBorder="1" applyAlignment="1">
      <alignment horizontal="center" vertical="center"/>
    </xf>
    <xf numFmtId="176" fontId="21" fillId="21" borderId="36" xfId="32" applyNumberFormat="1" applyFont="1" applyFill="1" applyBorder="1" applyAlignment="1">
      <alignment horizontal="center" vertical="center"/>
    </xf>
    <xf numFmtId="0" fontId="19" fillId="21" borderId="12" xfId="0" applyNumberFormat="1" applyFont="1" applyFill="1" applyBorder="1" applyAlignment="1">
      <alignment horizontal="center" vertical="center"/>
    </xf>
    <xf numFmtId="0" fontId="19" fillId="21" borderId="14" xfId="0" applyNumberFormat="1" applyFont="1" applyFill="1" applyBorder="1" applyAlignment="1">
      <alignment horizontal="center" vertical="center"/>
    </xf>
    <xf numFmtId="0" fontId="19" fillId="0" borderId="24" xfId="0" applyNumberFormat="1" applyFont="1" applyBorder="1" applyAlignment="1">
      <alignment horizontal="left" vertical="center"/>
    </xf>
    <xf numFmtId="0" fontId="19" fillId="21" borderId="37" xfId="0" applyNumberFormat="1" applyFont="1" applyFill="1" applyBorder="1" applyAlignment="1">
      <alignment horizontal="center" vertical="center"/>
    </xf>
    <xf numFmtId="0" fontId="19" fillId="21" borderId="38" xfId="0" applyNumberFormat="1" applyFont="1" applyFill="1" applyBorder="1" applyAlignment="1">
      <alignment horizontal="center" vertical="center"/>
    </xf>
    <xf numFmtId="0" fontId="19" fillId="0" borderId="39" xfId="0" applyNumberFormat="1" applyFont="1" applyBorder="1" applyAlignment="1">
      <alignment horizontal="left" vertical="center"/>
    </xf>
    <xf numFmtId="0" fontId="19" fillId="0" borderId="40" xfId="0" applyNumberFormat="1" applyFont="1" applyBorder="1" applyAlignment="1">
      <alignment horizontal="left" vertical="center"/>
    </xf>
    <xf numFmtId="0" fontId="19" fillId="0" borderId="41" xfId="0" applyNumberFormat="1" applyFont="1" applyBorder="1" applyAlignment="1">
      <alignment horizontal="left" vertical="center"/>
    </xf>
    <xf numFmtId="0" fontId="21" fillId="27" borderId="42" xfId="0" applyNumberFormat="1" applyFont="1" applyFill="1" applyBorder="1" applyAlignment="1">
      <alignment horizontal="left" vertical="center"/>
    </xf>
    <xf numFmtId="0" fontId="21" fillId="27" borderId="17" xfId="0" applyNumberFormat="1" applyFont="1" applyFill="1" applyBorder="1" applyAlignment="1">
      <alignment horizontal="left" vertical="center"/>
    </xf>
    <xf numFmtId="0" fontId="21" fillId="27" borderId="43" xfId="0" applyNumberFormat="1" applyFont="1" applyFill="1" applyBorder="1" applyAlignment="1">
      <alignment horizontal="left" vertical="center"/>
    </xf>
    <xf numFmtId="41" fontId="21" fillId="29" borderId="44" xfId="32" applyNumberFormat="1" applyFont="1" applyFill="1" applyBorder="1" applyAlignment="1">
      <alignment horizontal="center" vertical="center"/>
    </xf>
    <xf numFmtId="41" fontId="21" fillId="29" borderId="45" xfId="32" applyNumberFormat="1" applyFont="1" applyFill="1" applyBorder="1" applyAlignment="1">
      <alignment horizontal="center" vertical="center"/>
    </xf>
    <xf numFmtId="0" fontId="42" fillId="27" borderId="46" xfId="0" applyNumberFormat="1" applyFont="1" applyFill="1" applyBorder="1" applyAlignment="1">
      <alignment horizontal="center" vertical="center" wrapText="1"/>
    </xf>
    <xf numFmtId="0" fontId="42" fillId="27" borderId="47" xfId="0" applyNumberFormat="1" applyFont="1" applyFill="1" applyBorder="1" applyAlignment="1">
      <alignment horizontal="center" vertical="center" wrapText="1"/>
    </xf>
    <xf numFmtId="0" fontId="21" fillId="26" borderId="30" xfId="0" applyNumberFormat="1" applyFont="1" applyFill="1" applyBorder="1" applyAlignment="1">
      <alignment horizontal="left" vertical="center"/>
    </xf>
    <xf numFmtId="0" fontId="21" fillId="26" borderId="10" xfId="0" applyNumberFormat="1" applyFont="1" applyFill="1" applyBorder="1" applyAlignment="1">
      <alignment horizontal="left" vertical="center"/>
    </xf>
    <xf numFmtId="0" fontId="21" fillId="26" borderId="25" xfId="0" applyNumberFormat="1" applyFont="1" applyFill="1" applyBorder="1" applyAlignment="1">
      <alignment horizontal="left" vertical="center"/>
    </xf>
    <xf numFmtId="41" fontId="21" fillId="26" borderId="48" xfId="32" applyNumberFormat="1" applyFont="1" applyFill="1" applyBorder="1" applyAlignment="1">
      <alignment horizontal="center" vertical="center"/>
    </xf>
    <xf numFmtId="41" fontId="21" fillId="26" borderId="49" xfId="32" applyNumberFormat="1" applyFont="1" applyFill="1" applyBorder="1" applyAlignment="1">
      <alignment horizontal="center" vertical="center"/>
    </xf>
    <xf numFmtId="0" fontId="40" fillId="26" borderId="24" xfId="0" applyNumberFormat="1" applyFont="1" applyFill="1" applyBorder="1" applyAlignment="1">
      <alignment horizontal="center" vertical="center" wrapText="1"/>
    </xf>
    <xf numFmtId="0" fontId="40" fillId="26" borderId="19" xfId="0" applyNumberFormat="1" applyFont="1" applyFill="1" applyBorder="1" applyAlignment="1">
      <alignment horizontal="center" vertical="center"/>
    </xf>
    <xf numFmtId="0" fontId="21" fillId="28" borderId="50" xfId="0" applyNumberFormat="1" applyFont="1" applyFill="1" applyBorder="1" applyAlignment="1">
      <alignment horizontal="center" vertical="center" wrapText="1"/>
    </xf>
    <xf numFmtId="0" fontId="21" fillId="28" borderId="51" xfId="0" applyNumberFormat="1" applyFont="1" applyFill="1" applyBorder="1" applyAlignment="1">
      <alignment horizontal="center" vertical="center" wrapText="1"/>
    </xf>
    <xf numFmtId="0" fontId="21" fillId="28" borderId="10" xfId="0" applyNumberFormat="1" applyFont="1" applyFill="1" applyBorder="1" applyAlignment="1">
      <alignment horizontal="left" vertical="center" wrapText="1"/>
    </xf>
    <xf numFmtId="0" fontId="21" fillId="28" borderId="10" xfId="0" applyNumberFormat="1" applyFont="1" applyFill="1" applyBorder="1" applyAlignment="1">
      <alignment horizontal="left" vertical="center"/>
    </xf>
    <xf numFmtId="0" fontId="21" fillId="28" borderId="25" xfId="0" applyNumberFormat="1" applyFont="1" applyFill="1" applyBorder="1" applyAlignment="1">
      <alignment horizontal="left" vertical="center"/>
    </xf>
    <xf numFmtId="41" fontId="21" fillId="28" borderId="65" xfId="32" applyNumberFormat="1" applyFont="1" applyFill="1" applyBorder="1" applyAlignment="1">
      <alignment horizontal="center" vertical="center"/>
    </xf>
    <xf numFmtId="41" fontId="21" fillId="28" borderId="64" xfId="32" applyNumberFormat="1" applyFont="1" applyFill="1" applyBorder="1" applyAlignment="1">
      <alignment horizontal="center" vertical="center"/>
    </xf>
    <xf numFmtId="0" fontId="40" fillId="28" borderId="52" xfId="0" applyNumberFormat="1" applyFont="1" applyFill="1" applyBorder="1" applyAlignment="1">
      <alignment horizontal="center" vertical="center"/>
    </xf>
    <xf numFmtId="0" fontId="40" fillId="28" borderId="53" xfId="0" applyNumberFormat="1" applyFont="1" applyFill="1" applyBorder="1" applyAlignment="1">
      <alignment horizontal="center" vertical="center"/>
    </xf>
    <xf numFmtId="0" fontId="21" fillId="28" borderId="26" xfId="0" applyNumberFormat="1" applyFont="1" applyFill="1" applyBorder="1" applyAlignment="1">
      <alignment horizontal="left" vertical="center"/>
    </xf>
    <xf numFmtId="41" fontId="21" fillId="28" borderId="48" xfId="32" applyNumberFormat="1" applyFont="1" applyFill="1" applyBorder="1" applyAlignment="1">
      <alignment horizontal="center" vertical="center"/>
    </xf>
    <xf numFmtId="41" fontId="21" fillId="28" borderId="49" xfId="32" applyNumberFormat="1" applyFont="1" applyFill="1" applyBorder="1" applyAlignment="1">
      <alignment horizontal="center" vertical="center"/>
    </xf>
    <xf numFmtId="0" fontId="40" fillId="28" borderId="24" xfId="0" applyNumberFormat="1" applyFont="1" applyFill="1" applyBorder="1" applyAlignment="1">
      <alignment horizontal="center" vertical="center"/>
    </xf>
    <xf numFmtId="0" fontId="40" fillId="28" borderId="19" xfId="0" applyNumberFormat="1" applyFont="1" applyFill="1" applyBorder="1" applyAlignment="1">
      <alignment horizontal="center" vertical="center"/>
    </xf>
    <xf numFmtId="0" fontId="40" fillId="28" borderId="24" xfId="0" applyNumberFormat="1" applyFont="1" applyFill="1" applyBorder="1" applyAlignment="1">
      <alignment horizontal="center" vertical="center" wrapText="1"/>
    </xf>
    <xf numFmtId="0" fontId="22" fillId="28" borderId="25" xfId="0" applyNumberFormat="1" applyFont="1" applyFill="1" applyBorder="1" applyAlignment="1">
      <alignment horizontal="center" vertical="center" wrapText="1"/>
    </xf>
    <xf numFmtId="0" fontId="22" fillId="28" borderId="26" xfId="0" applyNumberFormat="1" applyFont="1" applyFill="1" applyBorder="1" applyAlignment="1">
      <alignment horizontal="center" vertical="center"/>
    </xf>
    <xf numFmtId="0" fontId="40" fillId="28" borderId="65" xfId="0" applyNumberFormat="1" applyFont="1" applyFill="1" applyBorder="1" applyAlignment="1">
      <alignment horizontal="center" vertical="center"/>
    </xf>
    <xf numFmtId="0" fontId="40" fillId="28" borderId="32" xfId="0" applyNumberFormat="1" applyFont="1" applyFill="1" applyBorder="1" applyAlignment="1">
      <alignment horizontal="center" vertical="center"/>
    </xf>
    <xf numFmtId="0" fontId="21" fillId="21" borderId="54" xfId="0" applyNumberFormat="1" applyFont="1" applyFill="1" applyBorder="1" applyAlignment="1">
      <alignment horizontal="center" vertical="center"/>
    </xf>
    <xf numFmtId="0" fontId="21" fillId="21" borderId="55" xfId="0" applyNumberFormat="1" applyFont="1" applyFill="1" applyBorder="1" applyAlignment="1">
      <alignment horizontal="center" vertical="center"/>
    </xf>
    <xf numFmtId="0" fontId="21" fillId="21" borderId="56" xfId="0" applyNumberFormat="1" applyFont="1" applyFill="1" applyBorder="1" applyAlignment="1">
      <alignment horizontal="center" vertical="center"/>
    </xf>
    <xf numFmtId="176" fontId="21" fillId="21" borderId="13" xfId="32" applyNumberFormat="1" applyFont="1" applyFill="1" applyBorder="1" applyAlignment="1">
      <alignment horizontal="center" vertical="center" wrapText="1"/>
    </xf>
    <xf numFmtId="176" fontId="32" fillId="25" borderId="15" xfId="32" applyNumberFormat="1" applyFont="1" applyFill="1" applyBorder="1" applyAlignment="1">
      <alignment horizontal="center" vertical="center"/>
    </xf>
    <xf numFmtId="0" fontId="21" fillId="24" borderId="37" xfId="0" applyNumberFormat="1" applyFont="1" applyFill="1" applyBorder="1" applyAlignment="1">
      <alignment horizontal="left" vertical="center"/>
    </xf>
    <xf numFmtId="0" fontId="21" fillId="24" borderId="40" xfId="0" applyNumberFormat="1" applyFont="1" applyFill="1" applyBorder="1" applyAlignment="1">
      <alignment horizontal="left" vertical="center"/>
    </xf>
    <xf numFmtId="0" fontId="21" fillId="24" borderId="57" xfId="0" applyNumberFormat="1" applyFont="1" applyFill="1" applyBorder="1" applyAlignment="1">
      <alignment horizontal="left" vertical="center"/>
    </xf>
    <xf numFmtId="41" fontId="37" fillId="24" borderId="58" xfId="32" applyNumberFormat="1" applyFont="1" applyFill="1" applyBorder="1" applyAlignment="1">
      <alignment horizontal="center" vertical="center"/>
    </xf>
    <xf numFmtId="41" fontId="37" fillId="24" borderId="59" xfId="32" applyNumberFormat="1" applyFont="1" applyFill="1" applyBorder="1" applyAlignment="1">
      <alignment horizontal="center" vertical="center"/>
    </xf>
    <xf numFmtId="0" fontId="31" fillId="0" borderId="25" xfId="0" applyNumberFormat="1" applyFont="1" applyBorder="1" applyAlignment="1">
      <alignment horizontal="left" vertical="center" wrapText="1"/>
    </xf>
    <xf numFmtId="0" fontId="35" fillId="0" borderId="26" xfId="0" applyNumberFormat="1" applyFont="1" applyBorder="1" applyAlignment="1">
      <alignment horizontal="left" vertical="center"/>
    </xf>
    <xf numFmtId="0" fontId="35" fillId="0" borderId="24" xfId="0" applyNumberFormat="1" applyFont="1" applyBorder="1" applyAlignment="1">
      <alignment horizontal="left" vertical="center"/>
    </xf>
    <xf numFmtId="0" fontId="40" fillId="24" borderId="39" xfId="0" applyNumberFormat="1" applyFont="1" applyFill="1" applyBorder="1" applyAlignment="1">
      <alignment horizontal="center" vertical="center" wrapText="1"/>
    </xf>
    <xf numFmtId="0" fontId="40" fillId="24" borderId="41" xfId="0" applyNumberFormat="1" applyFont="1" applyFill="1" applyBorder="1" applyAlignment="1">
      <alignment horizontal="center" vertical="center"/>
    </xf>
    <xf numFmtId="0" fontId="20" fillId="0" borderId="0" xfId="0" applyNumberFormat="1" applyFont="1" applyBorder="1" applyAlignment="1">
      <alignment horizontal="center"/>
    </xf>
    <xf numFmtId="0" fontId="32" fillId="25" borderId="72" xfId="0" applyNumberFormat="1" applyFont="1" applyFill="1" applyBorder="1" applyAlignment="1">
      <alignment horizontal="center" vertical="center"/>
    </xf>
    <xf numFmtId="0" fontId="32" fillId="25" borderId="73" xfId="0" applyNumberFormat="1" applyFont="1" applyFill="1" applyBorder="1" applyAlignment="1">
      <alignment horizontal="center" vertical="center"/>
    </xf>
    <xf numFmtId="0" fontId="32" fillId="25" borderId="74" xfId="0" applyNumberFormat="1" applyFont="1" applyFill="1" applyBorder="1" applyAlignment="1">
      <alignment horizontal="center" vertical="center"/>
    </xf>
    <xf numFmtId="176" fontId="25" fillId="28" borderId="0" xfId="32" applyNumberFormat="1" applyFont="1" applyFill="1" applyAlignment="1">
      <alignment horizontal="right"/>
    </xf>
    <xf numFmtId="176" fontId="25" fillId="28" borderId="0" xfId="0" applyNumberFormat="1" applyFont="1" applyFill="1" applyAlignment="1"/>
    <xf numFmtId="14" fontId="24" fillId="0" borderId="0" xfId="32" applyNumberFormat="1" applyFont="1" applyAlignment="1">
      <alignment horizontal="right"/>
    </xf>
    <xf numFmtId="176" fontId="21" fillId="28" borderId="40" xfId="32" applyNumberFormat="1" applyFont="1" applyFill="1" applyBorder="1" applyAlignment="1">
      <alignment horizontal="center" vertical="center"/>
    </xf>
    <xf numFmtId="176" fontId="19" fillId="0" borderId="0" xfId="32" applyNumberFormat="1" applyFont="1" applyAlignment="1">
      <alignment horizontal="center"/>
    </xf>
    <xf numFmtId="0" fontId="19" fillId="0" borderId="0" xfId="0" applyNumberFormat="1" applyFont="1" applyAlignment="1">
      <alignment horizontal="justify" vertical="center"/>
    </xf>
    <xf numFmtId="0" fontId="21" fillId="28" borderId="84" xfId="0" applyNumberFormat="1" applyFont="1" applyFill="1" applyBorder="1" applyAlignment="1">
      <alignment horizontal="center" vertical="center" wrapText="1"/>
    </xf>
    <xf numFmtId="0" fontId="21" fillId="28" borderId="85" xfId="0" applyNumberFormat="1" applyFont="1" applyFill="1" applyBorder="1" applyAlignment="1">
      <alignment horizontal="center" vertical="center" wrapText="1"/>
    </xf>
    <xf numFmtId="0" fontId="34" fillId="28" borderId="84" xfId="0" applyNumberFormat="1" applyFont="1" applyFill="1" applyBorder="1" applyAlignment="1">
      <alignment horizontal="center" vertical="center" wrapText="1"/>
    </xf>
    <xf numFmtId="0" fontId="34" fillId="28" borderId="51" xfId="0" applyNumberFormat="1" applyFont="1" applyFill="1" applyBorder="1" applyAlignment="1">
      <alignment horizontal="center" vertical="center"/>
    </xf>
    <xf numFmtId="0" fontId="34" fillId="28" borderId="86" xfId="0" applyNumberFormat="1" applyFont="1" applyFill="1" applyBorder="1" applyAlignment="1">
      <alignment horizontal="center" vertical="center"/>
    </xf>
    <xf numFmtId="0" fontId="21" fillId="24" borderId="66" xfId="0" applyNumberFormat="1" applyFont="1" applyFill="1" applyBorder="1" applyAlignment="1">
      <alignment horizontal="center" vertical="center"/>
    </xf>
    <xf numFmtId="0" fontId="21" fillId="24" borderId="67" xfId="0" applyNumberFormat="1" applyFont="1" applyFill="1" applyBorder="1" applyAlignment="1">
      <alignment horizontal="center" vertical="center"/>
    </xf>
    <xf numFmtId="0" fontId="21" fillId="24" borderId="68" xfId="0" applyNumberFormat="1" applyFont="1" applyFill="1" applyBorder="1" applyAlignment="1">
      <alignment horizontal="center" vertical="center"/>
    </xf>
    <xf numFmtId="176" fontId="32" fillId="24" borderId="71" xfId="32" applyNumberFormat="1" applyFont="1" applyFill="1" applyBorder="1" applyAlignment="1">
      <alignment horizontal="center" vertical="center"/>
    </xf>
    <xf numFmtId="176" fontId="32" fillId="24" borderId="67" xfId="32" applyNumberFormat="1" applyFont="1" applyFill="1" applyBorder="1" applyAlignment="1">
      <alignment horizontal="center" vertical="center"/>
    </xf>
    <xf numFmtId="176" fontId="32" fillId="24" borderId="69" xfId="32" applyNumberFormat="1" applyFont="1" applyFill="1" applyBorder="1" applyAlignment="1">
      <alignment horizontal="center" vertical="center"/>
    </xf>
    <xf numFmtId="176" fontId="32" fillId="24" borderId="80" xfId="32" applyNumberFormat="1" applyFont="1" applyFill="1" applyBorder="1" applyAlignment="1">
      <alignment horizontal="center" vertical="center"/>
    </xf>
    <xf numFmtId="176" fontId="32" fillId="24" borderId="79" xfId="32" applyNumberFormat="1" applyFont="1" applyFill="1" applyBorder="1" applyAlignment="1">
      <alignment horizontal="center" vertical="center"/>
    </xf>
    <xf numFmtId="176" fontId="32" fillId="24" borderId="81" xfId="32" applyNumberFormat="1" applyFont="1" applyFill="1" applyBorder="1" applyAlignment="1">
      <alignment horizontal="center" vertical="center"/>
    </xf>
    <xf numFmtId="176" fontId="21" fillId="28" borderId="76" xfId="32" applyNumberFormat="1" applyFont="1" applyFill="1" applyBorder="1" applyAlignment="1">
      <alignment horizontal="center" vertical="center"/>
    </xf>
    <xf numFmtId="176" fontId="21" fillId="28" borderId="10" xfId="32" applyNumberFormat="1" applyFont="1" applyFill="1" applyBorder="1" applyAlignment="1">
      <alignment horizontal="center" vertical="center"/>
    </xf>
    <xf numFmtId="176" fontId="21" fillId="28" borderId="17" xfId="32" applyNumberFormat="1" applyFont="1" applyFill="1" applyBorder="1" applyAlignment="1">
      <alignment horizontal="center" vertical="center"/>
    </xf>
    <xf numFmtId="176" fontId="21" fillId="28" borderId="43" xfId="32" applyNumberFormat="1" applyFont="1" applyFill="1" applyBorder="1" applyAlignment="1">
      <alignment horizontal="center" vertical="center"/>
    </xf>
    <xf numFmtId="176" fontId="21" fillId="28" borderId="23" xfId="32" applyNumberFormat="1" applyFont="1" applyFill="1" applyBorder="1" applyAlignment="1">
      <alignment horizontal="center" vertical="center"/>
    </xf>
    <xf numFmtId="0" fontId="32" fillId="24" borderId="67" xfId="0" applyNumberFormat="1" applyFont="1" applyFill="1" applyBorder="1" applyAlignment="1">
      <alignment horizontal="center" vertical="center"/>
    </xf>
    <xf numFmtId="0" fontId="32" fillId="24" borderId="68" xfId="0" applyNumberFormat="1" applyFont="1" applyFill="1" applyBorder="1" applyAlignment="1">
      <alignment horizontal="center" vertical="center"/>
    </xf>
  </cellXfs>
  <cellStyles count="47">
    <cellStyle name="20% - 강조색1" xfId="1" xr:uid="{00000000-0005-0000-0000-000000000000}"/>
    <cellStyle name="20% - 강조색2" xfId="2" xr:uid="{00000000-0005-0000-0000-000001000000}"/>
    <cellStyle name="20% - 강조색3" xfId="3" xr:uid="{00000000-0005-0000-0000-000002000000}"/>
    <cellStyle name="20% - 강조색4" xfId="4" xr:uid="{00000000-0005-0000-0000-000003000000}"/>
    <cellStyle name="20% - 강조색5" xfId="5" xr:uid="{00000000-0005-0000-0000-000004000000}"/>
    <cellStyle name="20% - 강조색6" xfId="6" xr:uid="{00000000-0005-0000-0000-000005000000}"/>
    <cellStyle name="40% - 강조색1" xfId="7" xr:uid="{00000000-0005-0000-0000-000006000000}"/>
    <cellStyle name="40% - 강조색2" xfId="8" xr:uid="{00000000-0005-0000-0000-000007000000}"/>
    <cellStyle name="40% - 강조색3" xfId="9" xr:uid="{00000000-0005-0000-0000-000008000000}"/>
    <cellStyle name="40% - 강조색4" xfId="10" xr:uid="{00000000-0005-0000-0000-000009000000}"/>
    <cellStyle name="40% - 강조색5" xfId="11" xr:uid="{00000000-0005-0000-0000-00000A000000}"/>
    <cellStyle name="40% - 강조색6" xfId="12" xr:uid="{00000000-0005-0000-0000-00000B000000}"/>
    <cellStyle name="60% - 강조색1" xfId="13" xr:uid="{00000000-0005-0000-0000-00000C000000}"/>
    <cellStyle name="60% - 강조색2" xfId="14" xr:uid="{00000000-0005-0000-0000-00000D000000}"/>
    <cellStyle name="60% - 강조색3" xfId="15" xr:uid="{00000000-0005-0000-0000-00000E000000}"/>
    <cellStyle name="60% - 강조색4" xfId="16" xr:uid="{00000000-0005-0000-0000-00000F000000}"/>
    <cellStyle name="60% - 강조색5" xfId="17" xr:uid="{00000000-0005-0000-0000-000010000000}"/>
    <cellStyle name="60% - 강조색6" xfId="18" xr:uid="{00000000-0005-0000-0000-000011000000}"/>
    <cellStyle name="강조색1" xfId="19" xr:uid="{00000000-0005-0000-0000-000012000000}"/>
    <cellStyle name="강조색2" xfId="20" xr:uid="{00000000-0005-0000-0000-000013000000}"/>
    <cellStyle name="강조색3" xfId="21" xr:uid="{00000000-0005-0000-0000-000014000000}"/>
    <cellStyle name="강조색4" xfId="22" xr:uid="{00000000-0005-0000-0000-000015000000}"/>
    <cellStyle name="강조색5" xfId="23" xr:uid="{00000000-0005-0000-0000-000016000000}"/>
    <cellStyle name="강조색6" xfId="24" xr:uid="{00000000-0005-0000-0000-000017000000}"/>
    <cellStyle name="경고문" xfId="25" xr:uid="{00000000-0005-0000-0000-000018000000}"/>
    <cellStyle name="계산" xfId="26" xr:uid="{00000000-0005-0000-0000-000019000000}"/>
    <cellStyle name="나쁨" xfId="27" xr:uid="{00000000-0005-0000-0000-00001A000000}"/>
    <cellStyle name="메모" xfId="28" xr:uid="{00000000-0005-0000-0000-00001B000000}"/>
    <cellStyle name="보통" xfId="29" xr:uid="{00000000-0005-0000-0000-00001C000000}"/>
    <cellStyle name="설명 텍스트" xfId="30" xr:uid="{00000000-0005-0000-0000-00001D000000}"/>
    <cellStyle name="셀 확인" xfId="31" xr:uid="{00000000-0005-0000-0000-00001E000000}"/>
    <cellStyle name="쉼표 [0]" xfId="32" xr:uid="{00000000-0005-0000-0000-00001F000000}"/>
    <cellStyle name="쉼표 [0] 2" xfId="43" xr:uid="{00000000-0005-0000-0000-000020000000}"/>
    <cellStyle name="연결된 셀" xfId="33" xr:uid="{00000000-0005-0000-0000-000021000000}"/>
    <cellStyle name="요약" xfId="34" xr:uid="{00000000-0005-0000-0000-000022000000}"/>
    <cellStyle name="입력" xfId="35" xr:uid="{00000000-0005-0000-0000-000023000000}"/>
    <cellStyle name="제목" xfId="36" xr:uid="{00000000-0005-0000-0000-000024000000}"/>
    <cellStyle name="제목 1" xfId="37" xr:uid="{00000000-0005-0000-0000-000025000000}"/>
    <cellStyle name="제목 2" xfId="38" xr:uid="{00000000-0005-0000-0000-000026000000}"/>
    <cellStyle name="제목 3" xfId="39" xr:uid="{00000000-0005-0000-0000-000027000000}"/>
    <cellStyle name="제목 4" xfId="40" xr:uid="{00000000-0005-0000-0000-000028000000}"/>
    <cellStyle name="좋음" xfId="41" xr:uid="{00000000-0005-0000-0000-000029000000}"/>
    <cellStyle name="출력" xfId="42" xr:uid="{00000000-0005-0000-0000-00002A000000}"/>
    <cellStyle name="표준" xfId="0" builtinId="0"/>
    <cellStyle name="표준 106" xfId="45" xr:uid="{00000000-0005-0000-0000-00002C000000}"/>
    <cellStyle name="표준 2" xfId="44" xr:uid="{00000000-0005-0000-0000-00002D000000}"/>
    <cellStyle name="표준 2 2 2" xfId="46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4e29755208214c9a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523875</xdr:colOff>
      <xdr:row>40</xdr:row>
      <xdr:rowOff>171450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D6E44446-85A1-4077-8C7D-3CF9D7DF8D7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861322F7-8D33-59AB-B995-6C13D906A4AA}"/>
  <xltc:person displayName="user" id="{45D3D7FD-7D15-DC71-A61E-80BF313A4688}"/>
  <xltc:person displayName="user" id="{439EC240-6A56-840C-5EE1-3FA4F08BAA3B}"/>
</xltc: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5"/>
  <sheetViews>
    <sheetView tabSelected="1" workbookViewId="0">
      <selection activeCell="K17" sqref="K17"/>
    </sheetView>
  </sheetViews>
  <sheetFormatPr defaultColWidth="8.88671875" defaultRowHeight="13.5" x14ac:dyDescent="0.15"/>
  <cols>
    <col min="1" max="1" width="1.88671875" style="1" customWidth="1"/>
    <col min="2" max="2" width="3.33203125" style="1" customWidth="1"/>
    <col min="3" max="3" width="15.5546875" style="1" customWidth="1"/>
    <col min="4" max="4" width="10.33203125" style="1" customWidth="1"/>
    <col min="5" max="5" width="14.21875" style="1" customWidth="1"/>
    <col min="6" max="6" width="6.33203125" style="1" customWidth="1"/>
    <col min="7" max="7" width="7.88671875" style="1" customWidth="1"/>
    <col min="8" max="8" width="9.88671875" style="1" customWidth="1"/>
    <col min="9" max="9" width="32.44140625" style="1" customWidth="1"/>
    <col min="10" max="10" width="3.109375" style="1" customWidth="1"/>
    <col min="11" max="11" width="38.5546875" style="1" customWidth="1"/>
    <col min="12" max="12" width="12.77734375" style="1" customWidth="1"/>
    <col min="13" max="16384" width="8.88671875" style="1"/>
  </cols>
  <sheetData>
    <row r="1" spans="2:9" ht="32.1" customHeight="1" x14ac:dyDescent="0.4">
      <c r="B1" s="81" t="s">
        <v>0</v>
      </c>
      <c r="C1" s="81"/>
      <c r="D1" s="81"/>
      <c r="E1" s="81"/>
      <c r="F1" s="81"/>
      <c r="G1" s="81"/>
      <c r="H1" s="81"/>
      <c r="I1" s="81"/>
    </row>
    <row r="2" spans="2:9" s="2" customFormat="1" ht="9.9499999999999993" customHeight="1" x14ac:dyDescent="0.15">
      <c r="B2" s="2" t="s">
        <v>1</v>
      </c>
      <c r="F2" s="3"/>
      <c r="G2" s="3"/>
    </row>
    <row r="3" spans="2:9" ht="18" customHeight="1" x14ac:dyDescent="0.25">
      <c r="B3" s="82" t="s">
        <v>2</v>
      </c>
      <c r="C3" s="82"/>
      <c r="D3" s="82"/>
      <c r="E3" s="82"/>
      <c r="F3" s="82"/>
      <c r="G3" s="82"/>
      <c r="H3" s="82"/>
      <c r="I3" s="82"/>
    </row>
    <row r="4" spans="2:9" ht="8.1" customHeight="1" x14ac:dyDescent="0.25">
      <c r="B4" s="4"/>
      <c r="C4" s="4"/>
      <c r="D4" s="4"/>
      <c r="E4" s="4"/>
      <c r="F4" s="4"/>
      <c r="G4" s="4"/>
      <c r="H4" s="4"/>
      <c r="I4" s="4"/>
    </row>
    <row r="5" spans="2:9" ht="14.25" x14ac:dyDescent="0.15">
      <c r="B5" s="83" t="s">
        <v>3</v>
      </c>
      <c r="C5" s="84"/>
      <c r="D5" s="85"/>
      <c r="E5" s="86"/>
      <c r="F5" s="86"/>
      <c r="G5" s="86"/>
      <c r="H5" s="86"/>
      <c r="I5" s="87"/>
    </row>
    <row r="6" spans="2:9" ht="15" customHeight="1" x14ac:dyDescent="0.15">
      <c r="B6" s="61" t="s">
        <v>4</v>
      </c>
      <c r="C6" s="62"/>
      <c r="D6" s="88"/>
      <c r="E6" s="89"/>
      <c r="F6" s="89"/>
      <c r="G6" s="89"/>
      <c r="H6" s="89"/>
      <c r="I6" s="90"/>
    </row>
    <row r="7" spans="2:9" ht="14.25" x14ac:dyDescent="0.15">
      <c r="B7" s="61" t="s">
        <v>5</v>
      </c>
      <c r="C7" s="62"/>
      <c r="D7" s="63"/>
      <c r="E7" s="64"/>
      <c r="F7" s="64"/>
      <c r="G7" s="64"/>
      <c r="H7" s="64"/>
      <c r="I7" s="65"/>
    </row>
    <row r="8" spans="2:9" ht="14.25" customHeight="1" x14ac:dyDescent="0.15">
      <c r="B8" s="66" t="s">
        <v>6</v>
      </c>
      <c r="C8" s="67" t="s">
        <v>7</v>
      </c>
      <c r="D8" s="71"/>
      <c r="E8" s="72"/>
      <c r="F8" s="72"/>
      <c r="G8" s="73"/>
      <c r="H8" s="77"/>
      <c r="I8" s="78"/>
    </row>
    <row r="9" spans="2:9" ht="13.5" customHeight="1" x14ac:dyDescent="0.15">
      <c r="B9" s="66"/>
      <c r="C9" s="68"/>
      <c r="D9" s="74"/>
      <c r="E9" s="75"/>
      <c r="F9" s="75"/>
      <c r="G9" s="76"/>
      <c r="H9" s="79"/>
      <c r="I9" s="80"/>
    </row>
    <row r="10" spans="2:9" ht="14.25" customHeight="1" x14ac:dyDescent="0.15">
      <c r="B10" s="61"/>
      <c r="C10" s="67" t="s">
        <v>8</v>
      </c>
      <c r="D10" s="71"/>
      <c r="E10" s="72"/>
      <c r="F10" s="72"/>
      <c r="G10" s="73"/>
      <c r="H10" s="77"/>
      <c r="I10" s="78"/>
    </row>
    <row r="11" spans="2:9" ht="13.5" customHeight="1" x14ac:dyDescent="0.15">
      <c r="B11" s="61"/>
      <c r="C11" s="68"/>
      <c r="D11" s="74"/>
      <c r="E11" s="75"/>
      <c r="F11" s="75"/>
      <c r="G11" s="76"/>
      <c r="H11" s="79"/>
      <c r="I11" s="80"/>
    </row>
    <row r="12" spans="2:9" ht="14.25" customHeight="1" x14ac:dyDescent="0.15">
      <c r="B12" s="61"/>
      <c r="C12" s="69" t="s">
        <v>9</v>
      </c>
      <c r="D12" s="71"/>
      <c r="E12" s="72"/>
      <c r="F12" s="72"/>
      <c r="G12" s="73"/>
      <c r="H12" s="77"/>
      <c r="I12" s="78"/>
    </row>
    <row r="13" spans="2:9" ht="13.5" customHeight="1" x14ac:dyDescent="0.15">
      <c r="B13" s="61"/>
      <c r="C13" s="70"/>
      <c r="D13" s="74"/>
      <c r="E13" s="75"/>
      <c r="F13" s="75"/>
      <c r="G13" s="76"/>
      <c r="H13" s="79"/>
      <c r="I13" s="80"/>
    </row>
    <row r="14" spans="2:9" ht="14.25" customHeight="1" x14ac:dyDescent="0.15">
      <c r="B14" s="61"/>
      <c r="C14" s="69" t="s">
        <v>10</v>
      </c>
      <c r="D14" s="71"/>
      <c r="E14" s="72"/>
      <c r="F14" s="72"/>
      <c r="G14" s="73"/>
      <c r="H14" s="77"/>
      <c r="I14" s="78"/>
    </row>
    <row r="15" spans="2:9" x14ac:dyDescent="0.15">
      <c r="B15" s="61"/>
      <c r="C15" s="70"/>
      <c r="D15" s="74"/>
      <c r="E15" s="75"/>
      <c r="F15" s="75"/>
      <c r="G15" s="76"/>
      <c r="H15" s="79"/>
      <c r="I15" s="80"/>
    </row>
    <row r="16" spans="2:9" ht="14.25" x14ac:dyDescent="0.15">
      <c r="B16" s="61" t="s">
        <v>11</v>
      </c>
      <c r="C16" s="62"/>
      <c r="D16" s="98"/>
      <c r="E16" s="64"/>
      <c r="F16" s="64"/>
      <c r="G16" s="64"/>
      <c r="H16" s="64"/>
      <c r="I16" s="65"/>
    </row>
    <row r="17" spans="2:12" ht="14.25" x14ac:dyDescent="0.15">
      <c r="B17" s="99" t="s">
        <v>12</v>
      </c>
      <c r="C17" s="100"/>
      <c r="D17" s="101"/>
      <c r="E17" s="102"/>
      <c r="F17" s="102"/>
      <c r="G17" s="102"/>
      <c r="H17" s="102"/>
      <c r="I17" s="103"/>
    </row>
    <row r="18" spans="2:12" ht="9.9499999999999993" customHeight="1" x14ac:dyDescent="0.25">
      <c r="B18" s="5"/>
      <c r="C18" s="5"/>
      <c r="D18" s="5"/>
      <c r="E18" s="5"/>
      <c r="F18" s="5"/>
      <c r="G18" s="5"/>
      <c r="H18" s="5"/>
      <c r="I18" s="5"/>
    </row>
    <row r="19" spans="2:12" ht="18" customHeight="1" x14ac:dyDescent="0.25">
      <c r="B19" s="82" t="s">
        <v>13</v>
      </c>
      <c r="C19" s="82"/>
      <c r="D19" s="82"/>
      <c r="E19" s="82"/>
      <c r="F19" s="82"/>
      <c r="G19" s="82"/>
      <c r="H19" s="82"/>
      <c r="I19" s="82"/>
    </row>
    <row r="20" spans="2:12" ht="8.1" customHeight="1" x14ac:dyDescent="0.25">
      <c r="B20" s="4"/>
      <c r="C20" s="4"/>
      <c r="D20" s="4"/>
      <c r="E20" s="4"/>
      <c r="F20" s="4"/>
      <c r="G20" s="4"/>
      <c r="H20" s="4"/>
      <c r="I20" s="4"/>
      <c r="L20" s="54"/>
    </row>
    <row r="21" spans="2:12" ht="24.6" customHeight="1" x14ac:dyDescent="0.15">
      <c r="B21" s="91" t="s">
        <v>14</v>
      </c>
      <c r="C21" s="92"/>
      <c r="D21" s="92"/>
      <c r="E21" s="93"/>
      <c r="F21" s="94" t="s">
        <v>15</v>
      </c>
      <c r="G21" s="95"/>
      <c r="H21" s="96" t="s">
        <v>16</v>
      </c>
      <c r="I21" s="97"/>
    </row>
    <row r="22" spans="2:12" ht="24.6" customHeight="1" x14ac:dyDescent="0.15">
      <c r="B22" s="104" t="s">
        <v>17</v>
      </c>
      <c r="C22" s="105"/>
      <c r="D22" s="105"/>
      <c r="E22" s="106"/>
      <c r="F22" s="107"/>
      <c r="G22" s="108"/>
      <c r="H22" s="109" t="s">
        <v>18</v>
      </c>
      <c r="I22" s="110"/>
    </row>
    <row r="23" spans="2:12" ht="24.6" customHeight="1" x14ac:dyDescent="0.15">
      <c r="B23" s="111" t="s">
        <v>19</v>
      </c>
      <c r="C23" s="112"/>
      <c r="D23" s="112"/>
      <c r="E23" s="113"/>
      <c r="F23" s="114">
        <f>SUM(F24:G27)</f>
        <v>0</v>
      </c>
      <c r="G23" s="115"/>
      <c r="H23" s="116" t="s">
        <v>20</v>
      </c>
      <c r="I23" s="117"/>
    </row>
    <row r="24" spans="2:12" ht="18.75" customHeight="1" x14ac:dyDescent="0.15">
      <c r="B24" s="118" t="s">
        <v>21</v>
      </c>
      <c r="C24" s="120" t="s">
        <v>22</v>
      </c>
      <c r="D24" s="121"/>
      <c r="E24" s="122"/>
      <c r="F24" s="123"/>
      <c r="G24" s="124"/>
      <c r="H24" s="125" t="s">
        <v>23</v>
      </c>
      <c r="I24" s="126"/>
      <c r="K24" s="53" t="s">
        <v>24</v>
      </c>
    </row>
    <row r="25" spans="2:12" ht="27.75" customHeight="1" x14ac:dyDescent="0.15">
      <c r="B25" s="119"/>
      <c r="C25" s="133" t="s">
        <v>25</v>
      </c>
      <c r="D25" s="134"/>
      <c r="E25" s="134"/>
      <c r="F25" s="123"/>
      <c r="G25" s="124"/>
      <c r="H25" s="135" t="s">
        <v>26</v>
      </c>
      <c r="I25" s="136"/>
    </row>
    <row r="26" spans="2:12" ht="20.25" customHeight="1" x14ac:dyDescent="0.15">
      <c r="B26" s="119"/>
      <c r="C26" s="122" t="s">
        <v>27</v>
      </c>
      <c r="D26" s="127"/>
      <c r="E26" s="127"/>
      <c r="F26" s="128"/>
      <c r="G26" s="129"/>
      <c r="H26" s="130" t="s">
        <v>28</v>
      </c>
      <c r="I26" s="131"/>
    </row>
    <row r="27" spans="2:12" ht="20.25" customHeight="1" x14ac:dyDescent="0.15">
      <c r="B27" s="119"/>
      <c r="C27" s="120" t="s">
        <v>29</v>
      </c>
      <c r="D27" s="121"/>
      <c r="E27" s="122"/>
      <c r="F27" s="128"/>
      <c r="G27" s="129"/>
      <c r="H27" s="132" t="s">
        <v>30</v>
      </c>
      <c r="I27" s="131"/>
    </row>
    <row r="28" spans="2:12" ht="24.6" customHeight="1" x14ac:dyDescent="0.15">
      <c r="B28" s="142" t="s">
        <v>31</v>
      </c>
      <c r="C28" s="143"/>
      <c r="D28" s="143"/>
      <c r="E28" s="144"/>
      <c r="F28" s="145">
        <f>F22-F23</f>
        <v>0</v>
      </c>
      <c r="G28" s="146"/>
      <c r="H28" s="150" t="s">
        <v>32</v>
      </c>
      <c r="I28" s="151"/>
    </row>
    <row r="29" spans="2:12" ht="9.9499999999999993" customHeight="1" x14ac:dyDescent="0.15">
      <c r="B29" s="6"/>
      <c r="C29" s="6"/>
      <c r="D29" s="6"/>
      <c r="E29" s="6"/>
      <c r="F29" s="7"/>
      <c r="G29" s="7"/>
      <c r="H29" s="8"/>
      <c r="I29" s="9"/>
    </row>
    <row r="30" spans="2:12" s="10" customFormat="1" ht="25.5" customHeight="1" x14ac:dyDescent="0.25">
      <c r="B30" s="152" t="s">
        <v>33</v>
      </c>
      <c r="C30" s="152"/>
      <c r="D30" s="152"/>
      <c r="E30" s="152"/>
      <c r="F30" s="152"/>
      <c r="G30" s="152"/>
      <c r="H30" s="152"/>
      <c r="I30" s="152"/>
    </row>
    <row r="31" spans="2:12" s="10" customFormat="1" ht="57.75" customHeight="1" x14ac:dyDescent="0.15">
      <c r="B31" s="147" t="s">
        <v>34</v>
      </c>
      <c r="C31" s="148"/>
      <c r="D31" s="148"/>
      <c r="E31" s="148"/>
      <c r="F31" s="148"/>
      <c r="G31" s="148"/>
      <c r="H31" s="148"/>
      <c r="I31" s="149"/>
    </row>
    <row r="32" spans="2:12" s="10" customFormat="1" ht="15" customHeight="1" x14ac:dyDescent="0.25">
      <c r="B32" s="11"/>
      <c r="C32" s="11"/>
      <c r="D32" s="11"/>
      <c r="E32" s="11"/>
      <c r="F32" s="11"/>
      <c r="G32" s="11"/>
      <c r="H32" s="11"/>
      <c r="I32" s="11"/>
    </row>
    <row r="33" spans="2:12" ht="33" customHeight="1" x14ac:dyDescent="0.15">
      <c r="B33" s="137" t="s">
        <v>35</v>
      </c>
      <c r="C33" s="138"/>
      <c r="D33" s="139"/>
      <c r="E33" s="24" t="s">
        <v>36</v>
      </c>
      <c r="F33" s="140" t="s">
        <v>37</v>
      </c>
      <c r="G33" s="140"/>
      <c r="H33" s="25" t="s">
        <v>38</v>
      </c>
      <c r="I33" s="26" t="s">
        <v>39</v>
      </c>
    </row>
    <row r="34" spans="2:12" ht="20.100000000000001" customHeight="1" x14ac:dyDescent="0.15">
      <c r="B34" s="153" t="s">
        <v>40</v>
      </c>
      <c r="C34" s="154"/>
      <c r="D34" s="155"/>
      <c r="E34" s="59">
        <f>(E35+E42)/2</f>
        <v>0</v>
      </c>
      <c r="F34" s="141"/>
      <c r="G34" s="141"/>
      <c r="H34" s="27"/>
      <c r="I34" s="28">
        <f>I35+I42</f>
        <v>0</v>
      </c>
    </row>
    <row r="35" spans="2:12" ht="20.100000000000001" customHeight="1" x14ac:dyDescent="0.15">
      <c r="B35" s="167" t="s">
        <v>41</v>
      </c>
      <c r="C35" s="168"/>
      <c r="D35" s="169"/>
      <c r="E35" s="60">
        <f>SUM(E36:E41)</f>
        <v>0</v>
      </c>
      <c r="F35" s="170"/>
      <c r="G35" s="171"/>
      <c r="H35" s="172"/>
      <c r="I35" s="52">
        <f>SUM(I36:I41)</f>
        <v>0</v>
      </c>
    </row>
    <row r="36" spans="2:12" ht="28.5" customHeight="1" x14ac:dyDescent="0.15">
      <c r="B36" s="162" t="s">
        <v>42</v>
      </c>
      <c r="C36" s="51" t="s">
        <v>43</v>
      </c>
      <c r="D36" s="29" t="s">
        <v>44</v>
      </c>
      <c r="E36" s="57"/>
      <c r="F36" s="178">
        <v>300</v>
      </c>
      <c r="G36" s="178"/>
      <c r="H36" s="30">
        <v>1</v>
      </c>
      <c r="I36" s="31">
        <f t="shared" ref="I36:I41" si="0">E36*F36*H36/2</f>
        <v>0</v>
      </c>
    </row>
    <row r="37" spans="2:12" ht="15" customHeight="1" x14ac:dyDescent="0.15">
      <c r="B37" s="119"/>
      <c r="C37" s="32" t="s">
        <v>45</v>
      </c>
      <c r="D37" s="33"/>
      <c r="E37" s="57"/>
      <c r="F37" s="177">
        <v>300</v>
      </c>
      <c r="G37" s="177"/>
      <c r="H37" s="34">
        <v>2</v>
      </c>
      <c r="I37" s="31">
        <f t="shared" si="0"/>
        <v>0</v>
      </c>
      <c r="K37" s="56"/>
    </row>
    <row r="38" spans="2:12" ht="15" customHeight="1" x14ac:dyDescent="0.15">
      <c r="B38" s="119"/>
      <c r="C38" s="32" t="s">
        <v>46</v>
      </c>
      <c r="D38" s="33"/>
      <c r="E38" s="57"/>
      <c r="F38" s="177">
        <v>300</v>
      </c>
      <c r="G38" s="177"/>
      <c r="H38" s="34">
        <v>2.5</v>
      </c>
      <c r="I38" s="31">
        <f t="shared" si="0"/>
        <v>0</v>
      </c>
    </row>
    <row r="39" spans="2:12" ht="15" customHeight="1" x14ac:dyDescent="0.15">
      <c r="B39" s="119"/>
      <c r="C39" s="32" t="s">
        <v>47</v>
      </c>
      <c r="D39" s="33"/>
      <c r="E39" s="57"/>
      <c r="F39" s="177">
        <v>300</v>
      </c>
      <c r="G39" s="177"/>
      <c r="H39" s="34">
        <v>3</v>
      </c>
      <c r="I39" s="31">
        <f t="shared" si="0"/>
        <v>0</v>
      </c>
    </row>
    <row r="40" spans="2:12" ht="15" customHeight="1" x14ac:dyDescent="0.15">
      <c r="B40" s="119"/>
      <c r="C40" s="32" t="s">
        <v>48</v>
      </c>
      <c r="D40" s="33"/>
      <c r="E40" s="57"/>
      <c r="F40" s="177">
        <v>300</v>
      </c>
      <c r="G40" s="177"/>
      <c r="H40" s="34">
        <v>3.5</v>
      </c>
      <c r="I40" s="31">
        <f t="shared" si="0"/>
        <v>0</v>
      </c>
    </row>
    <row r="41" spans="2:12" ht="15" customHeight="1" x14ac:dyDescent="0.15">
      <c r="B41" s="163"/>
      <c r="C41" s="35" t="s">
        <v>49</v>
      </c>
      <c r="D41" s="36"/>
      <c r="E41" s="57"/>
      <c r="F41" s="176">
        <v>300</v>
      </c>
      <c r="G41" s="176"/>
      <c r="H41" s="37">
        <v>4</v>
      </c>
      <c r="I41" s="38">
        <f t="shared" si="0"/>
        <v>0</v>
      </c>
    </row>
    <row r="42" spans="2:12" ht="15" customHeight="1" x14ac:dyDescent="0.15">
      <c r="B42" s="167" t="s">
        <v>50</v>
      </c>
      <c r="C42" s="181"/>
      <c r="D42" s="182"/>
      <c r="E42" s="60">
        <f>SUM(E43:E46)</f>
        <v>0</v>
      </c>
      <c r="F42" s="173"/>
      <c r="G42" s="174"/>
      <c r="H42" s="175"/>
      <c r="I42" s="39">
        <f>SUM(I43:I46)</f>
        <v>0</v>
      </c>
    </row>
    <row r="43" spans="2:12" ht="15" customHeight="1" x14ac:dyDescent="0.15">
      <c r="B43" s="164" t="s">
        <v>51</v>
      </c>
      <c r="C43" s="40" t="s">
        <v>52</v>
      </c>
      <c r="D43" s="41"/>
      <c r="E43" s="58"/>
      <c r="F43" s="179">
        <v>300</v>
      </c>
      <c r="G43" s="180"/>
      <c r="H43" s="30">
        <v>4</v>
      </c>
      <c r="I43" s="31">
        <f>E43*F43*H43/2</f>
        <v>0</v>
      </c>
      <c r="L43" s="56"/>
    </row>
    <row r="44" spans="2:12" ht="15" customHeight="1" x14ac:dyDescent="0.15">
      <c r="B44" s="165"/>
      <c r="C44" s="32" t="s">
        <v>53</v>
      </c>
      <c r="D44" s="33"/>
      <c r="E44" s="58"/>
      <c r="F44" s="177">
        <v>300</v>
      </c>
      <c r="G44" s="177"/>
      <c r="H44" s="34">
        <v>3</v>
      </c>
      <c r="I44" s="31">
        <f>E44*F44*H44/2</f>
        <v>0</v>
      </c>
      <c r="L44" s="56"/>
    </row>
    <row r="45" spans="2:12" ht="15" customHeight="1" x14ac:dyDescent="0.15">
      <c r="B45" s="165"/>
      <c r="C45" s="32" t="s">
        <v>54</v>
      </c>
      <c r="D45" s="33"/>
      <c r="E45" s="58"/>
      <c r="F45" s="177">
        <v>300</v>
      </c>
      <c r="G45" s="177"/>
      <c r="H45" s="34">
        <v>2</v>
      </c>
      <c r="I45" s="31">
        <f>E45*F45*H45/2</f>
        <v>0</v>
      </c>
      <c r="L45" s="56"/>
    </row>
    <row r="46" spans="2:12" ht="15" customHeight="1" x14ac:dyDescent="0.15">
      <c r="B46" s="166"/>
      <c r="C46" s="42" t="s">
        <v>55</v>
      </c>
      <c r="D46" s="43"/>
      <c r="E46" s="55"/>
      <c r="F46" s="159">
        <v>300</v>
      </c>
      <c r="G46" s="159"/>
      <c r="H46" s="44">
        <v>5</v>
      </c>
      <c r="I46" s="45">
        <f>E46*F46*H46/2</f>
        <v>0</v>
      </c>
    </row>
    <row r="47" spans="2:12" s="15" customFormat="1" ht="12.75" customHeight="1" x14ac:dyDescent="0.15">
      <c r="B47" s="12"/>
      <c r="C47" s="12"/>
      <c r="D47" s="12"/>
      <c r="E47" s="12"/>
      <c r="F47" s="13"/>
      <c r="G47" s="13"/>
      <c r="H47" s="12"/>
      <c r="I47" s="14" t="s">
        <v>56</v>
      </c>
    </row>
    <row r="48" spans="2:12" s="15" customFormat="1" ht="19.5" customHeight="1" x14ac:dyDescent="0.15">
      <c r="B48" s="16"/>
      <c r="C48" s="49" t="s">
        <v>57</v>
      </c>
      <c r="D48" s="160">
        <f>ROUNDDOWN(SUM(I34*3/100),-1)</f>
        <v>0</v>
      </c>
      <c r="E48" s="160"/>
      <c r="F48" s="50" t="s">
        <v>58</v>
      </c>
      <c r="G48" s="50"/>
      <c r="H48" s="49"/>
      <c r="I48" s="49"/>
      <c r="J48" s="17"/>
    </row>
    <row r="49" spans="2:9" s="15" customFormat="1" ht="10.5" customHeight="1" x14ac:dyDescent="0.15">
      <c r="B49" s="161"/>
      <c r="C49" s="161"/>
      <c r="D49" s="161"/>
      <c r="E49" s="161"/>
      <c r="F49" s="161"/>
      <c r="G49" s="161"/>
      <c r="H49" s="161"/>
      <c r="I49" s="161"/>
    </row>
    <row r="50" spans="2:9" s="19" customFormat="1" ht="18" customHeight="1" x14ac:dyDescent="0.25">
      <c r="B50" s="18"/>
      <c r="C50" s="46" t="s">
        <v>59</v>
      </c>
      <c r="D50" s="46"/>
      <c r="E50" s="46"/>
      <c r="F50" s="156">
        <f>ROUNDDOWN(SUM(I34),-1)</f>
        <v>0</v>
      </c>
      <c r="G50" s="156"/>
      <c r="H50" s="156"/>
      <c r="I50" s="47" t="s">
        <v>60</v>
      </c>
    </row>
    <row r="51" spans="2:9" s="19" customFormat="1" ht="6.75" customHeight="1" x14ac:dyDescent="0.25">
      <c r="B51" s="20"/>
      <c r="C51" s="48"/>
      <c r="D51" s="48"/>
      <c r="E51" s="48"/>
      <c r="F51" s="48"/>
      <c r="G51" s="48"/>
      <c r="H51" s="48"/>
      <c r="I51" s="48"/>
    </row>
    <row r="52" spans="2:9" s="19" customFormat="1" ht="18" customHeight="1" x14ac:dyDescent="0.25">
      <c r="B52" s="18"/>
      <c r="C52" s="46" t="s">
        <v>61</v>
      </c>
      <c r="D52" s="46"/>
      <c r="E52" s="46"/>
      <c r="F52" s="157">
        <f>SUM(F50,D48)</f>
        <v>0</v>
      </c>
      <c r="G52" s="157"/>
      <c r="H52" s="157"/>
      <c r="I52" s="47" t="s">
        <v>60</v>
      </c>
    </row>
    <row r="53" spans="2:9" s="19" customFormat="1" ht="3.75" customHeight="1" x14ac:dyDescent="0.25">
      <c r="B53" s="20"/>
      <c r="C53" s="21"/>
      <c r="D53" s="21"/>
      <c r="E53" s="21"/>
      <c r="F53" s="22"/>
      <c r="G53" s="22"/>
      <c r="H53" s="22"/>
      <c r="I53" s="20"/>
    </row>
    <row r="54" spans="2:9" s="19" customFormat="1" ht="17.25" customHeight="1" x14ac:dyDescent="0.25">
      <c r="B54" s="20"/>
      <c r="C54" s="20"/>
      <c r="D54" s="20"/>
      <c r="E54" s="20"/>
      <c r="F54" s="158"/>
      <c r="G54" s="158"/>
      <c r="H54" s="158"/>
      <c r="I54" s="20"/>
    </row>
    <row r="55" spans="2:9" s="19" customFormat="1" ht="18.75" x14ac:dyDescent="0.25">
      <c r="B55" s="20"/>
      <c r="C55" s="20"/>
      <c r="D55" s="20"/>
      <c r="E55" s="20"/>
      <c r="F55" s="23"/>
      <c r="G55" s="23"/>
      <c r="H55" s="20"/>
      <c r="I55" s="20"/>
    </row>
  </sheetData>
  <mergeCells count="78">
    <mergeCell ref="B36:B41"/>
    <mergeCell ref="B43:B46"/>
    <mergeCell ref="B35:D35"/>
    <mergeCell ref="F35:H35"/>
    <mergeCell ref="F42:H42"/>
    <mergeCell ref="F41:G41"/>
    <mergeCell ref="F38:G38"/>
    <mergeCell ref="F39:G39"/>
    <mergeCell ref="F36:G36"/>
    <mergeCell ref="F37:G37"/>
    <mergeCell ref="F40:G40"/>
    <mergeCell ref="F44:G44"/>
    <mergeCell ref="F45:G45"/>
    <mergeCell ref="F43:G43"/>
    <mergeCell ref="B42:D42"/>
    <mergeCell ref="F50:H50"/>
    <mergeCell ref="F52:H52"/>
    <mergeCell ref="F54:H54"/>
    <mergeCell ref="F46:G46"/>
    <mergeCell ref="D48:E48"/>
    <mergeCell ref="B49:I49"/>
    <mergeCell ref="B33:D33"/>
    <mergeCell ref="F33:G33"/>
    <mergeCell ref="F34:G34"/>
    <mergeCell ref="B28:E28"/>
    <mergeCell ref="F28:G28"/>
    <mergeCell ref="B31:I31"/>
    <mergeCell ref="H28:I28"/>
    <mergeCell ref="B30:I30"/>
    <mergeCell ref="B34:D34"/>
    <mergeCell ref="B24:B27"/>
    <mergeCell ref="C24:E24"/>
    <mergeCell ref="F24:G24"/>
    <mergeCell ref="H24:I24"/>
    <mergeCell ref="C26:E26"/>
    <mergeCell ref="F26:G26"/>
    <mergeCell ref="H26:I26"/>
    <mergeCell ref="C27:E27"/>
    <mergeCell ref="F27:G27"/>
    <mergeCell ref="H27:I27"/>
    <mergeCell ref="C25:E25"/>
    <mergeCell ref="F25:G25"/>
    <mergeCell ref="H25:I25"/>
    <mergeCell ref="B22:E22"/>
    <mergeCell ref="F22:G22"/>
    <mergeCell ref="H22:I22"/>
    <mergeCell ref="B23:E23"/>
    <mergeCell ref="F23:G23"/>
    <mergeCell ref="H23:I23"/>
    <mergeCell ref="B19:I19"/>
    <mergeCell ref="B21:E21"/>
    <mergeCell ref="F21:G21"/>
    <mergeCell ref="H21:I21"/>
    <mergeCell ref="B16:C16"/>
    <mergeCell ref="D16:I16"/>
    <mergeCell ref="B17:C17"/>
    <mergeCell ref="D17:I17"/>
    <mergeCell ref="B1:I1"/>
    <mergeCell ref="B3:I3"/>
    <mergeCell ref="B5:C5"/>
    <mergeCell ref="D5:I5"/>
    <mergeCell ref="B6:C6"/>
    <mergeCell ref="D6:I6"/>
    <mergeCell ref="B7:C7"/>
    <mergeCell ref="D7:I7"/>
    <mergeCell ref="B8:B15"/>
    <mergeCell ref="C8:C9"/>
    <mergeCell ref="C10:C11"/>
    <mergeCell ref="C12:C13"/>
    <mergeCell ref="C14:C15"/>
    <mergeCell ref="D12:G13"/>
    <mergeCell ref="H12:I13"/>
    <mergeCell ref="D10:G11"/>
    <mergeCell ref="H10:I11"/>
    <mergeCell ref="H8:I9"/>
    <mergeCell ref="D8:G9"/>
    <mergeCell ref="D14:G15"/>
    <mergeCell ref="H14:I15"/>
  </mergeCells>
  <phoneticPr fontId="30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산정명세서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2026-10-21T07:04:33Z</dcterms:modified>
</cp:coreProperties>
</file>